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bandteccom-my.sharepoint.com/personal/diego_menegaldo_sptech_school/Documents/Projeto Individual/"/>
    </mc:Choice>
  </mc:AlternateContent>
  <xr:revisionPtr revIDLastSave="2" documentId="11_F25DC773A252ABDACC104895A1DD5D985ADE58EC" xr6:coauthVersionLast="47" xr6:coauthVersionMax="47" xr10:uidLastSave="{879BC34E-E809-4E82-84AD-45E31548D16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/>
  <c r="M6" i="1"/>
  <c r="K6" i="1"/>
  <c r="M5" i="1"/>
  <c r="L5" i="1"/>
  <c r="K5" i="1"/>
  <c r="K4" i="1"/>
  <c r="M4" i="1"/>
  <c r="L4" i="1"/>
  <c r="K3" i="1"/>
</calcChain>
</file>

<file path=xl/sharedStrings.xml><?xml version="1.0" encoding="utf-8"?>
<sst xmlns="http://schemas.openxmlformats.org/spreadsheetml/2006/main" count="111" uniqueCount="62">
  <si>
    <t>REQUISITOS</t>
  </si>
  <si>
    <t>DESCRIÇÃO</t>
  </si>
  <si>
    <t>CLASSIFICAÇÃO</t>
  </si>
  <si>
    <t>TAMANHO</t>
  </si>
  <si>
    <t>TAM FIBONACCI</t>
  </si>
  <si>
    <t>PRIORIDADE</t>
  </si>
  <si>
    <t>SPRINT</t>
  </si>
  <si>
    <t>Implementação de Senha Forte</t>
  </si>
  <si>
    <t>Integração API Web Data Viz</t>
  </si>
  <si>
    <t>Preparação da Apresentação</t>
  </si>
  <si>
    <t>Criação da Dashboard</t>
  </si>
  <si>
    <t>Criação da tela de Locais em SP</t>
  </si>
  <si>
    <t>Inserção das Imagens no GitHub</t>
  </si>
  <si>
    <t>Criação das tabelas do Banco de Dados</t>
  </si>
  <si>
    <t>Estruturação da página Sobre Mim</t>
  </si>
  <si>
    <t>Estruturação da página Subcultura</t>
  </si>
  <si>
    <t>Estruturação do Quiz</t>
  </si>
  <si>
    <t>Criar Diagramas de Negócio e Técnico</t>
  </si>
  <si>
    <t>Documentação</t>
  </si>
  <si>
    <t>Estilização do Cadastro</t>
  </si>
  <si>
    <t>Estilização do Login</t>
  </si>
  <si>
    <t>Estilização da Index</t>
  </si>
  <si>
    <t>Criação dos arquivos HTML e CSS</t>
  </si>
  <si>
    <t>Crialção do Documento do Projeto</t>
  </si>
  <si>
    <t>Estruturação dos Diretórios no GitHub</t>
  </si>
  <si>
    <t>Criar Tela de Cadastro e Login</t>
  </si>
  <si>
    <t>Política de senha forte no cadastro</t>
  </si>
  <si>
    <t>API fará requisições no banco para exibição no site e também
fará inserts de cadastros e do Quis</t>
  </si>
  <si>
    <t>Criação da apresentação de slides</t>
  </si>
  <si>
    <t>Criação da página de dashboard</t>
  </si>
  <si>
    <t>Estilizar e criar uma página de principais atrações góticas em SP</t>
  </si>
  <si>
    <t>Inserir fotos das bandas e imagens do site</t>
  </si>
  <si>
    <t>Definir as tabelas e a modelagem</t>
  </si>
  <si>
    <t>Criação de uma página sobre o autor do projeto</t>
  </si>
  <si>
    <t>Criação e estruturação de um arquivo sobre a subcultura gótica</t>
  </si>
  <si>
    <t>Criação e estruturação de um arquivo com um Quiz gótico</t>
  </si>
  <si>
    <t>Mostrar a visão para o cliente como o projeto funciona</t>
  </si>
  <si>
    <t>Atualizar a documentação sempre que alterações forem feitas</t>
  </si>
  <si>
    <t>Estilizar a tela de cadastro conforme protótipo</t>
  </si>
  <si>
    <t>Estilização da tela de login conforme protótipo</t>
  </si>
  <si>
    <t>Estilização da página inicial do site</t>
  </si>
  <si>
    <t>Criar arquivos para trabalhar no projeto</t>
  </si>
  <si>
    <t>Criar documento para escrever a documentação</t>
  </si>
  <si>
    <t>Estruturação do projeto no repositório remoto</t>
  </si>
  <si>
    <t>Criação dos arquivos de cadastro e de login</t>
  </si>
  <si>
    <t>Desejável</t>
  </si>
  <si>
    <t>Essencial</t>
  </si>
  <si>
    <t>Importante</t>
  </si>
  <si>
    <t>GG</t>
  </si>
  <si>
    <t>M</t>
  </si>
  <si>
    <t>G</t>
  </si>
  <si>
    <t>P</t>
  </si>
  <si>
    <t>SP3.4</t>
  </si>
  <si>
    <t>SP3.3</t>
  </si>
  <si>
    <t>Sp3.4</t>
  </si>
  <si>
    <t>SP3.2</t>
  </si>
  <si>
    <t>SP3.1</t>
  </si>
  <si>
    <t>TOTAL</t>
  </si>
  <si>
    <t>Tam Fibonacci</t>
  </si>
  <si>
    <t>Planejado</t>
  </si>
  <si>
    <t>Entregue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</si>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</sst>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Planejado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Sheet1!$J$3:$J$7</c:f>
              <c:strCache>
                <c:ptCount val="5"/>
                <c:pt idx="0">
                  <c:v>TOTAL</c:v>
                </c:pt>
                <c:pt idx="1">
                  <c:v>SP3.1</c:v>
                </c:pt>
                <c:pt idx="2">
                  <c:v>SP3.2</c:v>
                </c:pt>
                <c:pt idx="3">
                  <c:v>SP3.3</c:v>
                </c:pt>
                <c:pt idx="4">
                  <c:v>SP3.4</c:v>
                </c:pt>
              </c:strCache>
            </c:strRef>
          </c:cat>
          <c:val>
            <c:numRef>
              <c:f>Sheet1!$L$3:$L$7</c:f>
              <c:numCache>
                <c:formatCode>General</c:formatCode>
                <c:ptCount val="5"/>
                <c:pt idx="0">
                  <c:v>245</c:v>
                </c:pt>
                <c:pt idx="1">
                  <c:v>59</c:v>
                </c:pt>
                <c:pt idx="2">
                  <c:v>97</c:v>
                </c:pt>
                <c:pt idx="3">
                  <c:v>63</c:v>
                </c:pt>
                <c:pt idx="4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6-4265-BD1B-A922EDDC84F5}"/>
            </c:ext>
          </c:extLst>
        </c:ser>
        <c:ser>
          <c:idx val="1"/>
          <c:order val="1"/>
          <c:tx>
            <c:v>Entregue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Sheet1!$J$3:$J$7</c:f>
              <c:strCache>
                <c:ptCount val="5"/>
                <c:pt idx="0">
                  <c:v>TOTAL</c:v>
                </c:pt>
                <c:pt idx="1">
                  <c:v>SP3.1</c:v>
                </c:pt>
                <c:pt idx="2">
                  <c:v>SP3.2</c:v>
                </c:pt>
                <c:pt idx="3">
                  <c:v>SP3.3</c:v>
                </c:pt>
                <c:pt idx="4">
                  <c:v>SP3.4</c:v>
                </c:pt>
              </c:strCache>
            </c:strRef>
          </c:cat>
          <c:val>
            <c:numRef>
              <c:f>Sheet1!$M$3:$M$7</c:f>
              <c:numCache>
                <c:formatCode>General</c:formatCode>
                <c:ptCount val="5"/>
                <c:pt idx="0">
                  <c:v>245</c:v>
                </c:pt>
                <c:pt idx="1">
                  <c:v>56</c:v>
                </c:pt>
                <c:pt idx="2">
                  <c:v>66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D6-4265-BD1B-A922EDDC8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651487"/>
        <c:axId val="1640651967"/>
      </c:lineChart>
      <c:catAx>
        <c:axId val="164065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0651967"/>
        <c:crosses val="autoZero"/>
        <c:auto val="1"/>
        <c:lblAlgn val="ctr"/>
        <c:lblOffset val="100"/>
        <c:noMultiLvlLbl val="0"/>
      </c:catAx>
      <c:valAx>
        <c:axId val="16406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065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7</xdr:row>
      <xdr:rowOff>128587</xdr:rowOff>
    </xdr:from>
    <xdr:to>
      <xdr:col>15</xdr:col>
      <xdr:colOff>180975</xdr:colOff>
      <xdr:row>22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AEEDC4-5A74-D111-47E9-582A913E1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zoomScaleNormal="100" workbookViewId="0">
      <selection activeCell="J26" sqref="J26"/>
    </sheetView>
  </sheetViews>
  <sheetFormatPr defaultRowHeight="15" x14ac:dyDescent="0.25"/>
  <cols>
    <col min="1" max="1" width="35.5703125" bestFit="1" customWidth="1"/>
    <col min="2" max="2" width="57.85546875" bestFit="1" customWidth="1"/>
    <col min="3" max="3" width="17.140625" bestFit="1" customWidth="1"/>
    <col min="4" max="4" width="12.7109375" bestFit="1" customWidth="1"/>
    <col min="5" max="5" width="17.5703125" bestFit="1" customWidth="1"/>
    <col min="6" max="6" width="14.140625" bestFit="1" customWidth="1"/>
    <col min="7" max="7" width="9.5703125" bestFit="1" customWidth="1"/>
    <col min="11" max="11" width="14.8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25">
      <c r="A2" s="1" t="s">
        <v>7</v>
      </c>
      <c r="B2" s="1" t="s">
        <v>26</v>
      </c>
      <c r="C2" s="4" t="s">
        <v>45</v>
      </c>
      <c r="D2" s="1" t="s">
        <v>48</v>
      </c>
      <c r="E2" s="1">
        <v>21</v>
      </c>
      <c r="F2" s="1">
        <v>3</v>
      </c>
      <c r="G2" s="1" t="s">
        <v>52</v>
      </c>
      <c r="J2" s="3"/>
      <c r="K2" s="3" t="s">
        <v>58</v>
      </c>
      <c r="L2" s="3" t="s">
        <v>59</v>
      </c>
      <c r="M2" s="3" t="s">
        <v>60</v>
      </c>
      <c r="N2" s="3" t="s">
        <v>61</v>
      </c>
    </row>
    <row r="3" spans="1:14" ht="30" x14ac:dyDescent="0.25">
      <c r="A3" s="1" t="s">
        <v>8</v>
      </c>
      <c r="B3" s="2" t="s">
        <v>27</v>
      </c>
      <c r="C3" s="5" t="s">
        <v>46</v>
      </c>
      <c r="D3" s="1" t="s">
        <v>48</v>
      </c>
      <c r="E3" s="1">
        <v>21</v>
      </c>
      <c r="F3" s="1">
        <v>1</v>
      </c>
      <c r="G3" s="1" t="s">
        <v>53</v>
      </c>
      <c r="J3" s="3" t="s">
        <v>57</v>
      </c>
      <c r="K3" s="3">
        <f>SUM(E2:E20)</f>
        <v>245</v>
      </c>
      <c r="L3" s="3">
        <v>245</v>
      </c>
      <c r="M3" s="3">
        <v>245</v>
      </c>
      <c r="N3" s="3">
        <v>0</v>
      </c>
    </row>
    <row r="4" spans="1:14" x14ac:dyDescent="0.25">
      <c r="A4" s="1" t="s">
        <v>9</v>
      </c>
      <c r="B4" s="1" t="s">
        <v>28</v>
      </c>
      <c r="C4" s="6" t="s">
        <v>47</v>
      </c>
      <c r="D4" s="1" t="s">
        <v>49</v>
      </c>
      <c r="E4" s="1">
        <v>5</v>
      </c>
      <c r="F4" s="1">
        <v>2</v>
      </c>
      <c r="G4" s="1" t="s">
        <v>54</v>
      </c>
      <c r="J4" s="3" t="s">
        <v>56</v>
      </c>
      <c r="K4" s="3">
        <f>SUM(E7,E13,E17,E16,E18,E19,E20)</f>
        <v>59</v>
      </c>
      <c r="L4" s="3">
        <f>SUM(E7,E13,E16,E17,E18,E19,E20)</f>
        <v>59</v>
      </c>
      <c r="M4" s="3">
        <f>SUM(E13,E16,E18,E17,E19,E20)</f>
        <v>56</v>
      </c>
      <c r="N4" s="3">
        <v>3</v>
      </c>
    </row>
    <row r="5" spans="1:14" x14ac:dyDescent="0.25">
      <c r="A5" s="1" t="s">
        <v>10</v>
      </c>
      <c r="B5" s="1" t="s">
        <v>29</v>
      </c>
      <c r="C5" s="5" t="s">
        <v>46</v>
      </c>
      <c r="D5" s="1" t="s">
        <v>48</v>
      </c>
      <c r="E5" s="1">
        <v>21</v>
      </c>
      <c r="F5" s="1">
        <v>1</v>
      </c>
      <c r="G5" s="1" t="s">
        <v>55</v>
      </c>
      <c r="J5" s="3" t="s">
        <v>55</v>
      </c>
      <c r="K5" s="3">
        <f>SUM(E5,E8,E10,E14,E15)</f>
        <v>97</v>
      </c>
      <c r="L5" s="3">
        <f>SUM(E5,E8,E10,E14,E15)</f>
        <v>97</v>
      </c>
      <c r="M5" s="3">
        <f>SUM(E10,E14,E15,N4)</f>
        <v>66</v>
      </c>
      <c r="N5" s="3">
        <v>31</v>
      </c>
    </row>
    <row r="6" spans="1:14" x14ac:dyDescent="0.25">
      <c r="A6" s="1" t="s">
        <v>11</v>
      </c>
      <c r="B6" s="1" t="s">
        <v>30</v>
      </c>
      <c r="C6" s="5" t="s">
        <v>46</v>
      </c>
      <c r="D6" s="1" t="s">
        <v>50</v>
      </c>
      <c r="E6" s="1">
        <v>13</v>
      </c>
      <c r="F6" s="1">
        <v>2</v>
      </c>
      <c r="G6" s="1" t="s">
        <v>53</v>
      </c>
      <c r="J6" s="3" t="s">
        <v>53</v>
      </c>
      <c r="K6" s="3">
        <f>SUM(E3,E6,E9,E11,E12)</f>
        <v>63</v>
      </c>
      <c r="L6" s="3">
        <v>63</v>
      </c>
      <c r="M6" s="3">
        <f>E12</f>
        <v>3</v>
      </c>
      <c r="N6" s="3">
        <v>34</v>
      </c>
    </row>
    <row r="7" spans="1:14" x14ac:dyDescent="0.25">
      <c r="A7" s="1" t="s">
        <v>12</v>
      </c>
      <c r="B7" s="1" t="s">
        <v>31</v>
      </c>
      <c r="C7" s="6" t="s">
        <v>47</v>
      </c>
      <c r="D7" s="1" t="s">
        <v>51</v>
      </c>
      <c r="E7" s="1">
        <v>3</v>
      </c>
      <c r="F7" s="1">
        <v>2</v>
      </c>
      <c r="G7" s="1" t="s">
        <v>56</v>
      </c>
      <c r="J7" s="3" t="s">
        <v>52</v>
      </c>
      <c r="K7" s="3">
        <f>SUM(E2,E4)</f>
        <v>26</v>
      </c>
      <c r="L7" s="3">
        <v>26</v>
      </c>
      <c r="M7" s="3">
        <v>5</v>
      </c>
      <c r="N7" s="3">
        <v>40</v>
      </c>
    </row>
    <row r="8" spans="1:14" x14ac:dyDescent="0.25">
      <c r="A8" s="1" t="s">
        <v>13</v>
      </c>
      <c r="B8" s="1" t="s">
        <v>32</v>
      </c>
      <c r="C8" s="5" t="s">
        <v>46</v>
      </c>
      <c r="D8" s="1" t="s">
        <v>50</v>
      </c>
      <c r="E8" s="1">
        <v>13</v>
      </c>
      <c r="F8" s="1">
        <v>1</v>
      </c>
      <c r="G8" s="1" t="s">
        <v>55</v>
      </c>
    </row>
    <row r="9" spans="1:14" x14ac:dyDescent="0.25">
      <c r="A9" s="1" t="s">
        <v>14</v>
      </c>
      <c r="B9" s="1" t="s">
        <v>33</v>
      </c>
      <c r="C9" s="6" t="s">
        <v>47</v>
      </c>
      <c r="D9" s="1" t="s">
        <v>49</v>
      </c>
      <c r="E9" s="1">
        <v>5</v>
      </c>
      <c r="F9" s="1">
        <v>2</v>
      </c>
      <c r="G9" s="1" t="s">
        <v>53</v>
      </c>
    </row>
    <row r="10" spans="1:14" x14ac:dyDescent="0.25">
      <c r="A10" s="1" t="s">
        <v>15</v>
      </c>
      <c r="B10" s="1" t="s">
        <v>34</v>
      </c>
      <c r="C10" s="5" t="s">
        <v>46</v>
      </c>
      <c r="D10" s="1" t="s">
        <v>48</v>
      </c>
      <c r="E10" s="1">
        <v>21</v>
      </c>
      <c r="F10" s="1">
        <v>1</v>
      </c>
      <c r="G10" s="1" t="s">
        <v>55</v>
      </c>
    </row>
    <row r="11" spans="1:14" x14ac:dyDescent="0.25">
      <c r="A11" s="1" t="s">
        <v>16</v>
      </c>
      <c r="B11" s="1" t="s">
        <v>35</v>
      </c>
      <c r="C11" s="5" t="s">
        <v>46</v>
      </c>
      <c r="D11" s="1" t="s">
        <v>48</v>
      </c>
      <c r="E11" s="1">
        <v>21</v>
      </c>
      <c r="F11" s="1">
        <v>1</v>
      </c>
      <c r="G11" s="1" t="s">
        <v>53</v>
      </c>
    </row>
    <row r="12" spans="1:14" x14ac:dyDescent="0.25">
      <c r="A12" s="1" t="s">
        <v>17</v>
      </c>
      <c r="B12" s="1" t="s">
        <v>36</v>
      </c>
      <c r="C12" s="6" t="s">
        <v>47</v>
      </c>
      <c r="D12" s="1" t="s">
        <v>51</v>
      </c>
      <c r="E12" s="1">
        <v>3</v>
      </c>
      <c r="F12" s="1">
        <v>3</v>
      </c>
      <c r="G12" s="1" t="s">
        <v>53</v>
      </c>
    </row>
    <row r="13" spans="1:14" x14ac:dyDescent="0.25">
      <c r="A13" s="1" t="s">
        <v>18</v>
      </c>
      <c r="B13" s="1" t="s">
        <v>37</v>
      </c>
      <c r="C13" s="5" t="s">
        <v>46</v>
      </c>
      <c r="D13" s="1" t="s">
        <v>49</v>
      </c>
      <c r="E13" s="1">
        <v>5</v>
      </c>
      <c r="F13" s="1">
        <v>1</v>
      </c>
      <c r="G13" s="1" t="s">
        <v>56</v>
      </c>
    </row>
    <row r="14" spans="1:14" x14ac:dyDescent="0.25">
      <c r="A14" s="1" t="s">
        <v>19</v>
      </c>
      <c r="B14" s="1" t="s">
        <v>38</v>
      </c>
      <c r="C14" s="5" t="s">
        <v>46</v>
      </c>
      <c r="D14" s="1" t="s">
        <v>48</v>
      </c>
      <c r="E14" s="1">
        <v>21</v>
      </c>
      <c r="F14" s="1">
        <v>1</v>
      </c>
      <c r="G14" s="1" t="s">
        <v>55</v>
      </c>
    </row>
    <row r="15" spans="1:14" x14ac:dyDescent="0.25">
      <c r="A15" s="1" t="s">
        <v>20</v>
      </c>
      <c r="B15" s="1" t="s">
        <v>39</v>
      </c>
      <c r="C15" s="5" t="s">
        <v>46</v>
      </c>
      <c r="D15" s="1" t="s">
        <v>48</v>
      </c>
      <c r="E15" s="1">
        <v>21</v>
      </c>
      <c r="F15" s="1">
        <v>1</v>
      </c>
      <c r="G15" s="1" t="s">
        <v>55</v>
      </c>
    </row>
    <row r="16" spans="1:14" x14ac:dyDescent="0.25">
      <c r="A16" s="1" t="s">
        <v>21</v>
      </c>
      <c r="B16" s="1" t="s">
        <v>40</v>
      </c>
      <c r="C16" s="5" t="s">
        <v>46</v>
      </c>
      <c r="D16" s="1" t="s">
        <v>48</v>
      </c>
      <c r="E16" s="1">
        <v>21</v>
      </c>
      <c r="F16" s="1">
        <v>1</v>
      </c>
      <c r="G16" s="1" t="s">
        <v>56</v>
      </c>
    </row>
    <row r="17" spans="1:7" x14ac:dyDescent="0.25">
      <c r="A17" s="1" t="s">
        <v>22</v>
      </c>
      <c r="B17" s="1" t="s">
        <v>41</v>
      </c>
      <c r="C17" s="5" t="s">
        <v>46</v>
      </c>
      <c r="D17" s="1" t="s">
        <v>48</v>
      </c>
      <c r="E17" s="1">
        <v>21</v>
      </c>
      <c r="F17" s="1">
        <v>2</v>
      </c>
      <c r="G17" s="1" t="s">
        <v>56</v>
      </c>
    </row>
    <row r="18" spans="1:7" x14ac:dyDescent="0.25">
      <c r="A18" s="1" t="s">
        <v>23</v>
      </c>
      <c r="B18" s="1" t="s">
        <v>42</v>
      </c>
      <c r="C18" s="6" t="s">
        <v>47</v>
      </c>
      <c r="D18" s="1" t="s">
        <v>51</v>
      </c>
      <c r="E18" s="1">
        <v>3</v>
      </c>
      <c r="F18" s="1">
        <v>1</v>
      </c>
      <c r="G18" s="1" t="s">
        <v>56</v>
      </c>
    </row>
    <row r="19" spans="1:7" x14ac:dyDescent="0.25">
      <c r="A19" s="1" t="s">
        <v>24</v>
      </c>
      <c r="B19" s="1" t="s">
        <v>43</v>
      </c>
      <c r="C19" s="5" t="s">
        <v>46</v>
      </c>
      <c r="D19" s="1" t="s">
        <v>51</v>
      </c>
      <c r="E19" s="1">
        <v>3</v>
      </c>
      <c r="F19" s="1">
        <v>1</v>
      </c>
      <c r="G19" s="1" t="s">
        <v>56</v>
      </c>
    </row>
    <row r="20" spans="1:7" x14ac:dyDescent="0.25">
      <c r="A20" s="1" t="s">
        <v>25</v>
      </c>
      <c r="B20" s="1" t="s">
        <v>44</v>
      </c>
      <c r="C20" s="5" t="s">
        <v>46</v>
      </c>
      <c r="D20" s="1" t="s">
        <v>51</v>
      </c>
      <c r="E20" s="1">
        <v>3</v>
      </c>
      <c r="F20" s="1">
        <v>1</v>
      </c>
      <c r="G20" s="1" t="s">
        <v>56</v>
      </c>
    </row>
  </sheetData>
  <autoFilter ref="A1:G20" xr:uid="{00000000-0001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Menegaldo</dc:creator>
  <cp:lastModifiedBy>DIEGO HENRIQUE DE NOVAIS MENEGALDO .</cp:lastModifiedBy>
  <dcterms:created xsi:type="dcterms:W3CDTF">2015-06-05T18:17:20Z</dcterms:created>
  <dcterms:modified xsi:type="dcterms:W3CDTF">2025-11-24T01:31:31Z</dcterms:modified>
</cp:coreProperties>
</file>